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unch Catalog" sheetId="1" state="visible" r:id="rId3"/>
    <sheet name="Summary" sheetId="2" state="visible" r:id="rId4"/>
    <sheet name="Drop Calend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<sst xmlns="http://schemas.openxmlformats.org/spreadsheetml/2006/main" count="305" uniqueCount="191">
  <si>
    <t xml:space="preserve">CRIT GOODS — LAUNCH CATALOG v1.0</t>
  </si>
  <si>
    <t xml:space="preserve">30 SKUs across 11 games. Printed on demand. Nothing sells out.</t>
  </si>
  <si>
    <t xml:space="preserve">SKU</t>
  </si>
  <si>
    <t xml:space="preserve">Game</t>
  </si>
  <si>
    <t xml:space="preserve">Era</t>
  </si>
  <si>
    <t xml:space="preserve">Category</t>
  </si>
  <si>
    <t xml:space="preserve">Title</t>
  </si>
  <si>
    <t xml:space="preserve">Design concept</t>
  </si>
  <si>
    <t xml:space="preserve">Retail ($)</t>
  </si>
  <si>
    <t xml:space="preserve">COGS ($)</t>
  </si>
  <si>
    <t xml:space="preserve">Margin ($)</t>
  </si>
  <si>
    <t xml:space="preserve">Margin (%)</t>
  </si>
  <si>
    <t xml:space="preserve">Ship (days)</t>
  </si>
  <si>
    <t xml:space="preserve">Tier</t>
  </si>
  <si>
    <t xml:space="preserve">CG-HD2-001</t>
  </si>
  <si>
    <t xml:space="preserve">Hades II</t>
  </si>
  <si>
    <t xml:space="preserve">2024–</t>
  </si>
  <si>
    <t xml:space="preserve">Tee</t>
  </si>
  <si>
    <t xml:space="preserve">Melinoë's List</t>
  </si>
  <si>
    <t xml:space="preserve">Hand-set typography tee listing Mel's daily to-dos (kill Chronos, etc).</t>
  </si>
  <si>
    <t xml:space="preserve">Core</t>
  </si>
  <si>
    <t xml:space="preserve">CG-HD2-002</t>
  </si>
  <si>
    <t xml:space="preserve">Poster</t>
  </si>
  <si>
    <t xml:space="preserve">Underworld Atlas</t>
  </si>
  <si>
    <t xml:space="preserve">18×24 map of all regions and bosses, hand-drawn plate.</t>
  </si>
  <si>
    <t xml:space="preserve">Collector</t>
  </si>
  <si>
    <t xml:space="preserve">CG-HD2-003</t>
  </si>
  <si>
    <t xml:space="preserve">Pin</t>
  </si>
  <si>
    <t xml:space="preserve">Witch's Staff</t>
  </si>
  <si>
    <t xml:space="preserve">Cloisonné enamel pin of Mel's staff with a pearl jewel.</t>
  </si>
  <si>
    <t xml:space="preserve">CG-HD2-004</t>
  </si>
  <si>
    <t xml:space="preserve">Hoodie</t>
  </si>
  <si>
    <t xml:space="preserve">Moonstone Heavy</t>
  </si>
  <si>
    <t xml:space="preserve">Heavyweight midnight-navy hoodie, silver moonstone chest mark.</t>
  </si>
  <si>
    <t xml:space="preserve">CG-ERN-001</t>
  </si>
  <si>
    <t xml:space="preserve">Elden Ring / SOTE</t>
  </si>
  <si>
    <t xml:space="preserve">2022–2024</t>
  </si>
  <si>
    <t xml:space="preserve">Tarnished</t>
  </si>
  <si>
    <t xml:space="preserve">Minimalist type tee — just "TARNISHED" in illuminated-manuscript cap.</t>
  </si>
  <si>
    <t xml:space="preserve">CG-ERN-002</t>
  </si>
  <si>
    <t xml:space="preserve">Lands Between Cartography</t>
  </si>
  <si>
    <t xml:space="preserve">18×24 hand-drawn world map in a medieval style, Gold XP ink accents.</t>
  </si>
  <si>
    <t xml:space="preserve">CG-ERN-003</t>
  </si>
  <si>
    <t xml:space="preserve">Site of Grace</t>
  </si>
  <si>
    <t xml:space="preserve">Golden enamel pin of the Site of Grace wisp.</t>
  </si>
  <si>
    <t xml:space="preserve">CG-ERN-004</t>
  </si>
  <si>
    <t xml:space="preserve">Malenia, Blade Of…</t>
  </si>
  <si>
    <t xml:space="preserve">Heavyweight sand-colored hoodie with embroidered prosthetic arm graphic.</t>
  </si>
  <si>
    <t xml:space="preserve">CG-ERN-005</t>
  </si>
  <si>
    <t xml:space="preserve">Tote</t>
  </si>
  <si>
    <t xml:space="preserve">Maidenless</t>
  </si>
  <si>
    <t xml:space="preserve">12oz natural canvas tote, one-word print in black blackletter.</t>
  </si>
  <si>
    <t xml:space="preserve">CG-BG3-001</t>
  </si>
  <si>
    <t xml:space="preserve">Baldur's Gate 3</t>
  </si>
  <si>
    <t xml:space="preserve">2023–</t>
  </si>
  <si>
    <t xml:space="preserve">Company of the Dead Three</t>
  </si>
  <si>
    <t xml:space="preserve">Type-forward tee listing every party companion as a D&amp;D stat block.</t>
  </si>
  <si>
    <t xml:space="preserve">CG-BG3-002</t>
  </si>
  <si>
    <t xml:space="preserve">Character Sheet Study</t>
  </si>
  <si>
    <t xml:space="preserve">18×24 printed like a hand-inked character sheet — Astarion, Shadowheart, Karlach.</t>
  </si>
  <si>
    <t xml:space="preserve">CG-BG3-003</t>
  </si>
  <si>
    <t xml:space="preserve">Mug</t>
  </si>
  <si>
    <t xml:space="preserve">Bhaalspawn Coffee</t>
  </si>
  <si>
    <t xml:space="preserve">Dishwasher-safe ceramic mug, "blood before breakfast" gag.</t>
  </si>
  <si>
    <t xml:space="preserve">CG-BG3-004</t>
  </si>
  <si>
    <t xml:space="preserve">Nat 20</t>
  </si>
  <si>
    <t xml:space="preserve">Gold-plated d20 pin, red Crit jewel on the 20-face.</t>
  </si>
  <si>
    <t xml:space="preserve">CG-ZLD-001</t>
  </si>
  <si>
    <t xml:space="preserve">Zelda: TOTK</t>
  </si>
  <si>
    <t xml:space="preserve">Sky Island Field Notes</t>
  </si>
  <si>
    <t xml:space="preserve">Botanical-illustration style tee of Zonai glyphs.</t>
  </si>
  <si>
    <t xml:space="preserve">CG-ZLD-002</t>
  </si>
  <si>
    <t xml:space="preserve">Hyrule Reworked</t>
  </si>
  <si>
    <t xml:space="preserve">18×24 reprint of the redrawn Hyrule map in post-Upheaval state.</t>
  </si>
  <si>
    <t xml:space="preserve">CG-ZLD-003</t>
  </si>
  <si>
    <t xml:space="preserve">Zelda (Classic)</t>
  </si>
  <si>
    <t xml:space="preserve">1986–2006</t>
  </si>
  <si>
    <t xml:space="preserve">Triforce Type Study</t>
  </si>
  <si>
    <t xml:space="preserve">Typographic tribute — minimalist 3-triangle mark set in Helvetica Now.</t>
  </si>
  <si>
    <t xml:space="preserve">CG-SF6-001</t>
  </si>
  <si>
    <t xml:space="preserve">Street Fighter 6</t>
  </si>
  <si>
    <t xml:space="preserve">World Tour</t>
  </si>
  <si>
    <t xml:space="preserve">Gig-poster style tee of the SF6 world tour cities.</t>
  </si>
  <si>
    <t xml:space="preserve">CG-SF6-002</t>
  </si>
  <si>
    <t xml:space="preserve">Drive Impact</t>
  </si>
  <si>
    <t xml:space="preserve">Boxy heavyweight hoodie, chest hit-counter embroidery.</t>
  </si>
  <si>
    <t xml:space="preserve">CG-SFC-001</t>
  </si>
  <si>
    <t xml:space="preserve">Street Fighter (Classic)</t>
  </si>
  <si>
    <t xml:space="preserve">1987–2000</t>
  </si>
  <si>
    <t xml:space="preserve">Perfect</t>
  </si>
  <si>
    <t xml:space="preserve">Retro arcade-cabinet style type tee — single word, CRT texture.</t>
  </si>
  <si>
    <t xml:space="preserve">CG-SFC-002</t>
  </si>
  <si>
    <t xml:space="preserve">Shoryuken Anatomy</t>
  </si>
  <si>
    <t xml:space="preserve">Anatomical-diagram style print of a Shoryuken, in gold leaf-look ink.</t>
  </si>
  <si>
    <t xml:space="preserve">CG-MK1-001</t>
  </si>
  <si>
    <t xml:space="preserve">Mortal Kombat 1</t>
  </si>
  <si>
    <t xml:space="preserve">FINISH HIM</t>
  </si>
  <si>
    <t xml:space="preserve">Heavyweight black tee, dripping-red serif headline, small MK1 mark.</t>
  </si>
  <si>
    <t xml:space="preserve">CG-MKC-001</t>
  </si>
  <si>
    <t xml:space="preserve">Mortal Kombat (Classic)</t>
  </si>
  <si>
    <t xml:space="preserve">1992–2001</t>
  </si>
  <si>
    <t xml:space="preserve">Kombatant Roster</t>
  </si>
  <si>
    <t xml:space="preserve">24×36 arcade-style roster print of the original eight fighters.</t>
  </si>
  <si>
    <t xml:space="preserve">CG-HD2D-001</t>
  </si>
  <si>
    <t xml:space="preserve">Helldivers 2</t>
  </si>
  <si>
    <t xml:space="preserve">For Super Earth</t>
  </si>
  <si>
    <t xml:space="preserve">Mock propaganda tee, Soviet-poster type layout.</t>
  </si>
  <si>
    <t xml:space="preserve">CG-HD2D-002</t>
  </si>
  <si>
    <t xml:space="preserve">Hat</t>
  </si>
  <si>
    <t xml:space="preserve">Democracy Officer</t>
  </si>
  <si>
    <t xml:space="preserve">Embroidered 6-panel cap, Eagle 1 strike in thread.</t>
  </si>
  <si>
    <t xml:space="preserve">CG-BMW-001</t>
  </si>
  <si>
    <t xml:space="preserve">Black Myth: Wukong</t>
  </si>
  <si>
    <t xml:space="preserve">Journey to the West, Part II</t>
  </si>
  <si>
    <t xml:space="preserve">18×24 ink-wash print of the Destined One in mid-strike.</t>
  </si>
  <si>
    <t xml:space="preserve">CG-BMW-002</t>
  </si>
  <si>
    <t xml:space="preserve">Legend of the Ape</t>
  </si>
  <si>
    <t xml:space="preserve">Sumi-style tee of the golden staff, red-seal signature mark.</t>
  </si>
  <si>
    <t xml:space="preserve">CG-FF7-001</t>
  </si>
  <si>
    <t xml:space="preserve">Final Fantasy VII Rebirth</t>
  </si>
  <si>
    <t xml:space="preserve">Gold Saucer</t>
  </si>
  <si>
    <t xml:space="preserve">Retro-ticket tee — Gold Saucer attractions as a theme-park map.</t>
  </si>
  <si>
    <t xml:space="preserve">CG-FF7-002</t>
  </si>
  <si>
    <t xml:space="preserve">Buster Sword</t>
  </si>
  <si>
    <t xml:space="preserve">Die-struck gunmetal pin of the Buster Sword, real weight.</t>
  </si>
  <si>
    <t xml:space="preserve">CG-MTR-001</t>
  </si>
  <si>
    <t xml:space="preserve">Metaphor: ReFantazio</t>
  </si>
  <si>
    <t xml:space="preserve">Royal Tournament</t>
  </si>
  <si>
    <t xml:space="preserve">18×24 print of the tournament bracket, illuminated-manuscript style.</t>
  </si>
  <si>
    <t xml:space="preserve">CG-MHW-001</t>
  </si>
  <si>
    <t xml:space="preserve">Monster Hunter Wilds</t>
  </si>
  <si>
    <t xml:space="preserve">2025–</t>
  </si>
  <si>
    <t xml:space="preserve">Hunter's Field Journal</t>
  </si>
  <si>
    <t xml:space="preserve">Tee printed like a hunter's field journal page — monster silhouettes + notes.</t>
  </si>
  <si>
    <t xml:space="preserve">TOTALS</t>
  </si>
  <si>
    <t xml:space="preserve">Averages across all SKUs. "Margin" shown is pre-marketing contribution margin.</t>
  </si>
  <si>
    <t xml:space="preserve">CRIT GOODS — LAUNCH SUMMARY</t>
  </si>
  <si>
    <t xml:space="preserve">SKUs by Category</t>
  </si>
  <si>
    <t xml:space="preserve">SKU count</t>
  </si>
  <si>
    <t xml:space="preserve">Avg retail</t>
  </si>
  <si>
    <t xml:space="preserve">Avg margin %</t>
  </si>
  <si>
    <t xml:space="preserve">Sticker</t>
  </si>
  <si>
    <t xml:space="preserve">SKUs by Game</t>
  </si>
  <si>
    <t xml:space="preserve">SKUs</t>
  </si>
  <si>
    <t xml:space="preserve">Total margin $</t>
  </si>
  <si>
    <t xml:space="preserve">Key Metrics</t>
  </si>
  <si>
    <t xml:space="preserve">Metric</t>
  </si>
  <si>
    <t xml:space="preserve">Value</t>
  </si>
  <si>
    <t xml:space="preserve">Total SKUs at launch</t>
  </si>
  <si>
    <t xml:space="preserve">Games covered</t>
  </si>
  <si>
    <t xml:space="preserve">Average retail price</t>
  </si>
  <si>
    <t xml:space="preserve">Average contribution margin %</t>
  </si>
  <si>
    <t xml:space="preserve">Total margin at 1 unit/SKU</t>
  </si>
  <si>
    <t xml:space="preserve">Total margin at 50 units/SKU (optimistic)</t>
  </si>
  <si>
    <t xml:space="preserve">CRIT GOODS — 6-WEEK DROP CALENDAR</t>
  </si>
  <si>
    <t xml:space="preserve">Launch drops biweekly. Each drop pairs a hero piece with a lighter-commit accessory.</t>
  </si>
  <si>
    <t xml:space="preserve">Drop #</t>
  </si>
  <si>
    <t xml:space="preserve">Week</t>
  </si>
  <si>
    <t xml:space="preserve">Theme</t>
  </si>
  <si>
    <t xml:space="preserve">Hero SKUs</t>
  </si>
  <si>
    <t xml:space="preserve">Notes</t>
  </si>
  <si>
    <t xml:space="preserve">Drop 01</t>
  </si>
  <si>
    <t xml:space="preserve">Week 1 — May 14</t>
  </si>
  <si>
    <t xml:space="preserve">The Bosses</t>
  </si>
  <si>
    <t xml:space="preserve">CG-HD2-001 (Mel's List Tee), CG-ERN-001 (Tarnished Tee), CG-BG3-001 (Company Tee)</t>
  </si>
  <si>
    <t xml:space="preserve">Launch week. Press, influencer seeds, homepage hero rotates.</t>
  </si>
  <si>
    <t xml:space="preserve">Drop 02</t>
  </si>
  <si>
    <t xml:space="preserve">Week 3 — May 28</t>
  </si>
  <si>
    <t xml:space="preserve">Maps &amp; Atlases</t>
  </si>
  <si>
    <t xml:space="preserve">CG-HD2-002 (Underworld Atlas), CG-ERN-002 (Lands Between Cartography), CG-ZLD-002 (Hyrule Reworked)</t>
  </si>
  <si>
    <t xml:space="preserve">Poster-forward drop. Partner with map/art communities.</t>
  </si>
  <si>
    <t xml:space="preserve">Drop 03</t>
  </si>
  <si>
    <t xml:space="preserve">Week 5 — June 11</t>
  </si>
  <si>
    <t xml:space="preserve">Classics Week</t>
  </si>
  <si>
    <t xml:space="preserve">CG-ZLD-003 (Triforce Type), CG-SFC-001 (Perfect), CG-MKC-001 (Kombatant Roster)</t>
  </si>
  <si>
    <t xml:space="preserve">Nostalgia hit. Drive older millennial / Gen X buyers.</t>
  </si>
  <si>
    <t xml:space="preserve">Drop 04</t>
  </si>
  <si>
    <t xml:space="preserve">Week 7 — June 25</t>
  </si>
  <si>
    <t xml:space="preserve">Heavyweight (Outerwear)</t>
  </si>
  <si>
    <t xml:space="preserve">CG-HD2-004 (Moonstone Heavy Hoodie), CG-ERN-004 (Malenia Hoodie), CG-SF6-002 (Drive Impact Hoodie)</t>
  </si>
  <si>
    <t xml:space="preserve">Shift into cooler-weather pieces and collector fits.</t>
  </si>
  <si>
    <t xml:space="preserve">Drop 05</t>
  </si>
  <si>
    <t xml:space="preserve">Week 9 — July 9</t>
  </si>
  <si>
    <t xml:space="preserve">Fan Favorites</t>
  </si>
  <si>
    <t xml:space="preserve">CG-FF7-001 (Gold Saucer Tee), CG-FF7-002 (Buster Sword Pin), CG-BMW-002 (Legend of the Ape Tee)</t>
  </si>
  <si>
    <t xml:space="preserve">Narrative-led drop. Lean on commissioned cover art.</t>
  </si>
  <si>
    <t xml:space="preserve">Drop 06</t>
  </si>
  <si>
    <t xml:space="preserve">Week 11 — July 23</t>
  </si>
  <si>
    <t xml:space="preserve">Wildcards</t>
  </si>
  <si>
    <t xml:space="preserve">CG-HD2D-001 (For Super Earth), CG-MHW-001 (Hunter's Field Journal), CG-MTR-001 (Royal Tournament Poster)</t>
  </si>
  <si>
    <t xml:space="preserve">Round out launch catalog. Review what sold, plan fall.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</si>
</sst>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2D3D"/>
      <name val="Arial"/>
      <family val="0"/>
      <charset val="1"/>
    </font>
    <font>
      <i val="true"/>
      <sz val="11"/>
      <color rgb="FF2A2A3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2D3D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2A2A30"/>
      <name val="Arial"/>
      <family val="0"/>
      <charset val="1"/>
    </font>
    <font>
      <b val="true"/>
      <sz val="14"/>
      <color rgb="FF0B0B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0B10"/>
        <bgColor rgb="FF000000"/>
      </patternFill>
    </fill>
    <fill>
      <patternFill patternType="solid">
        <fgColor rgb="FFF5F2E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5C8"/>
      </left>
      <right style="thin">
        <color rgb="FFD9D5C8"/>
      </right>
      <top style="thin">
        <color rgb="FFD9D5C8"/>
      </top>
      <bottom style="thin">
        <color rgb="FFD9D5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2D3D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2E8"/>
      <rgbColor rgb="FFCCFFFF"/>
      <rgbColor rgb="FF660066"/>
      <rgbColor rgb="FFFF8080"/>
      <rgbColor rgb="FF0066CC"/>
      <rgbColor rgb="FFD9D5C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10"/>
      <rgbColor rgb="FF333300"/>
      <rgbColor rgb="FF993300"/>
      <rgbColor rgb="FF993366"/>
      <rgbColor rgb="FF333399"/>
      <rgbColor rgb="FF2A2A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48"/>
    <col collapsed="false" customWidth="true" hidden="false" outlineLevel="0" max="11" min="7" style="0" width="10"/>
    <col collapsed="false" customWidth="true" hidden="false" outlineLevel="0" max="12" min="12" style="0" width="1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27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33.75" hidden="false" customHeight="true" outlineLevel="0" collapsed="false">
      <c r="A5" s="4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5" t="n">
        <v>42</v>
      </c>
      <c r="H5" s="5" t="n">
        <v>16</v>
      </c>
      <c r="I5" s="5" t="n">
        <f aca="false">G5-H5</f>
        <v>26</v>
      </c>
      <c r="J5" s="6" t="n">
        <f aca="false">(G5-H5)/G5</f>
        <v>0.619047619047619</v>
      </c>
      <c r="K5" s="4" t="n">
        <v>4</v>
      </c>
      <c r="L5" s="4" t="s">
        <v>20</v>
      </c>
    </row>
    <row r="6" customFormat="false" ht="33.75" hidden="false" customHeight="true" outlineLevel="0" collapsed="false">
      <c r="A6" s="7" t="s">
        <v>21</v>
      </c>
      <c r="B6" s="7" t="s">
        <v>15</v>
      </c>
      <c r="C6" s="7" t="s">
        <v>16</v>
      </c>
      <c r="D6" s="7" t="s">
        <v>22</v>
      </c>
      <c r="E6" s="7" t="s">
        <v>23</v>
      </c>
      <c r="F6" s="7" t="s">
        <v>24</v>
      </c>
      <c r="G6" s="8" t="n">
        <v>38</v>
      </c>
      <c r="H6" s="8" t="n">
        <v>11</v>
      </c>
      <c r="I6" s="8" t="n">
        <f aca="false">G6-H6</f>
        <v>27</v>
      </c>
      <c r="J6" s="9" t="n">
        <f aca="false">(G6-H6)/G6</f>
        <v>0.710526315789474</v>
      </c>
      <c r="K6" s="7" t="n">
        <v>5</v>
      </c>
      <c r="L6" s="7" t="s">
        <v>25</v>
      </c>
    </row>
    <row r="7" customFormat="false" ht="33.75" hidden="false" customHeight="true" outlineLevel="0" collapsed="false">
      <c r="A7" s="4" t="s">
        <v>26</v>
      </c>
      <c r="B7" s="4" t="s">
        <v>15</v>
      </c>
      <c r="C7" s="4" t="s">
        <v>16</v>
      </c>
      <c r="D7" s="4" t="s">
        <v>27</v>
      </c>
      <c r="E7" s="4" t="s">
        <v>28</v>
      </c>
      <c r="F7" s="4" t="s">
        <v>29</v>
      </c>
      <c r="G7" s="5" t="n">
        <v>18</v>
      </c>
      <c r="H7" s="5" t="n">
        <v>4</v>
      </c>
      <c r="I7" s="5" t="n">
        <f aca="false">G7-H7</f>
        <v>14</v>
      </c>
      <c r="J7" s="6" t="n">
        <f aca="false">(G7-H7)/G7</f>
        <v>0.777777777777778</v>
      </c>
      <c r="K7" s="4" t="n">
        <v>3</v>
      </c>
      <c r="L7" s="4" t="s">
        <v>20</v>
      </c>
    </row>
    <row r="8" customFormat="false" ht="33.75" hidden="false" customHeight="true" outlineLevel="0" collapsed="false">
      <c r="A8" s="7" t="s">
        <v>30</v>
      </c>
      <c r="B8" s="7" t="s">
        <v>15</v>
      </c>
      <c r="C8" s="7" t="s">
        <v>16</v>
      </c>
      <c r="D8" s="7" t="s">
        <v>31</v>
      </c>
      <c r="E8" s="7" t="s">
        <v>32</v>
      </c>
      <c r="F8" s="7" t="s">
        <v>33</v>
      </c>
      <c r="G8" s="8" t="n">
        <v>78</v>
      </c>
      <c r="H8" s="8" t="n">
        <v>28</v>
      </c>
      <c r="I8" s="8" t="n">
        <f aca="false">G8-H8</f>
        <v>50</v>
      </c>
      <c r="J8" s="9" t="n">
        <f aca="false">(G8-H8)/G8</f>
        <v>0.641025641025641</v>
      </c>
      <c r="K8" s="7" t="n">
        <v>5</v>
      </c>
      <c r="L8" s="7" t="s">
        <v>20</v>
      </c>
    </row>
    <row r="9" customFormat="false" ht="33.75" hidden="false" customHeight="true" outlineLevel="0" collapsed="false">
      <c r="A9" s="4" t="s">
        <v>34</v>
      </c>
      <c r="B9" s="4" t="s">
        <v>35</v>
      </c>
      <c r="C9" s="4" t="s">
        <v>36</v>
      </c>
      <c r="D9" s="4" t="s">
        <v>17</v>
      </c>
      <c r="E9" s="4" t="s">
        <v>37</v>
      </c>
      <c r="F9" s="4" t="s">
        <v>38</v>
      </c>
      <c r="G9" s="5" t="n">
        <v>44</v>
      </c>
      <c r="H9" s="5" t="n">
        <v>16</v>
      </c>
      <c r="I9" s="5" t="n">
        <f aca="false">G9-H9</f>
        <v>28</v>
      </c>
      <c r="J9" s="6" t="n">
        <f aca="false">(G9-H9)/G9</f>
        <v>0.636363636363636</v>
      </c>
      <c r="K9" s="4" t="n">
        <v>4</v>
      </c>
      <c r="L9" s="4" t="s">
        <v>20</v>
      </c>
    </row>
    <row r="10" customFormat="false" ht="33.75" hidden="false" customHeight="true" outlineLevel="0" collapsed="false">
      <c r="A10" s="7" t="s">
        <v>39</v>
      </c>
      <c r="B10" s="7" t="s">
        <v>35</v>
      </c>
      <c r="C10" s="7" t="s">
        <v>36</v>
      </c>
      <c r="D10" s="7" t="s">
        <v>22</v>
      </c>
      <c r="E10" s="7" t="s">
        <v>40</v>
      </c>
      <c r="F10" s="7" t="s">
        <v>41</v>
      </c>
      <c r="G10" s="8" t="n">
        <v>42</v>
      </c>
      <c r="H10" s="8" t="n">
        <v>12</v>
      </c>
      <c r="I10" s="8" t="n">
        <f aca="false">G10-H10</f>
        <v>30</v>
      </c>
      <c r="J10" s="9" t="n">
        <f aca="false">(G10-H10)/G10</f>
        <v>0.714285714285714</v>
      </c>
      <c r="K10" s="7" t="n">
        <v>5</v>
      </c>
      <c r="L10" s="7" t="s">
        <v>25</v>
      </c>
    </row>
    <row r="11" customFormat="false" ht="33.75" hidden="false" customHeight="true" outlineLevel="0" collapsed="false">
      <c r="A11" s="4" t="s">
        <v>42</v>
      </c>
      <c r="B11" s="4" t="s">
        <v>35</v>
      </c>
      <c r="C11" s="4" t="s">
        <v>36</v>
      </c>
      <c r="D11" s="4" t="s">
        <v>27</v>
      </c>
      <c r="E11" s="4" t="s">
        <v>43</v>
      </c>
      <c r="F11" s="4" t="s">
        <v>44</v>
      </c>
      <c r="G11" s="5" t="n">
        <v>20</v>
      </c>
      <c r="H11" s="5" t="n">
        <v>4</v>
      </c>
      <c r="I11" s="5" t="n">
        <f aca="false">G11-H11</f>
        <v>16</v>
      </c>
      <c r="J11" s="6" t="n">
        <f aca="false">(G11-H11)/G11</f>
        <v>0.8</v>
      </c>
      <c r="K11" s="4" t="n">
        <v>3</v>
      </c>
      <c r="L11" s="4" t="s">
        <v>20</v>
      </c>
    </row>
    <row r="12" customFormat="false" ht="33.75" hidden="false" customHeight="true" outlineLevel="0" collapsed="false">
      <c r="A12" s="7" t="s">
        <v>45</v>
      </c>
      <c r="B12" s="7" t="s">
        <v>35</v>
      </c>
      <c r="C12" s="7" t="s">
        <v>36</v>
      </c>
      <c r="D12" s="7" t="s">
        <v>31</v>
      </c>
      <c r="E12" s="7" t="s">
        <v>46</v>
      </c>
      <c r="F12" s="7" t="s">
        <v>47</v>
      </c>
      <c r="G12" s="8" t="n">
        <v>82</v>
      </c>
      <c r="H12" s="8" t="n">
        <v>30</v>
      </c>
      <c r="I12" s="8" t="n">
        <f aca="false">G12-H12</f>
        <v>52</v>
      </c>
      <c r="J12" s="9" t="n">
        <f aca="false">(G12-H12)/G12</f>
        <v>0.634146341463415</v>
      </c>
      <c r="K12" s="7" t="n">
        <v>5</v>
      </c>
      <c r="L12" s="7" t="s">
        <v>25</v>
      </c>
    </row>
    <row r="13" customFormat="false" ht="33.75" hidden="false" customHeight="true" outlineLevel="0" collapsed="false">
      <c r="A13" s="4" t="s">
        <v>48</v>
      </c>
      <c r="B13" s="4" t="s">
        <v>35</v>
      </c>
      <c r="C13" s="4" t="s">
        <v>36</v>
      </c>
      <c r="D13" s="4" t="s">
        <v>49</v>
      </c>
      <c r="E13" s="4" t="s">
        <v>50</v>
      </c>
      <c r="F13" s="4" t="s">
        <v>51</v>
      </c>
      <c r="G13" s="5" t="n">
        <v>28</v>
      </c>
      <c r="H13" s="5" t="n">
        <v>9</v>
      </c>
      <c r="I13" s="5" t="n">
        <f aca="false">G13-H13</f>
        <v>19</v>
      </c>
      <c r="J13" s="6" t="n">
        <f aca="false">(G13-H13)/G13</f>
        <v>0.678571428571429</v>
      </c>
      <c r="K13" s="4" t="n">
        <v>4</v>
      </c>
      <c r="L13" s="4" t="s">
        <v>20</v>
      </c>
    </row>
    <row r="14" customFormat="false" ht="33.75" hidden="false" customHeight="true" outlineLevel="0" collapsed="false">
      <c r="A14" s="7" t="s">
        <v>52</v>
      </c>
      <c r="B14" s="7" t="s">
        <v>53</v>
      </c>
      <c r="C14" s="7" t="s">
        <v>54</v>
      </c>
      <c r="D14" s="7" t="s">
        <v>17</v>
      </c>
      <c r="E14" s="7" t="s">
        <v>55</v>
      </c>
      <c r="F14" s="7" t="s">
        <v>56</v>
      </c>
      <c r="G14" s="8" t="n">
        <v>44</v>
      </c>
      <c r="H14" s="8" t="n">
        <v>16</v>
      </c>
      <c r="I14" s="8" t="n">
        <f aca="false">G14-H14</f>
        <v>28</v>
      </c>
      <c r="J14" s="9" t="n">
        <f aca="false">(G14-H14)/G14</f>
        <v>0.636363636363636</v>
      </c>
      <c r="K14" s="7" t="n">
        <v>4</v>
      </c>
      <c r="L14" s="7" t="s">
        <v>20</v>
      </c>
    </row>
    <row r="15" customFormat="false" ht="33.75" hidden="false" customHeight="true" outlineLevel="0" collapsed="false">
      <c r="A15" s="4" t="s">
        <v>57</v>
      </c>
      <c r="B15" s="4" t="s">
        <v>53</v>
      </c>
      <c r="C15" s="4" t="s">
        <v>54</v>
      </c>
      <c r="D15" s="4" t="s">
        <v>22</v>
      </c>
      <c r="E15" s="4" t="s">
        <v>58</v>
      </c>
      <c r="F15" s="4" t="s">
        <v>59</v>
      </c>
      <c r="G15" s="5" t="n">
        <v>40</v>
      </c>
      <c r="H15" s="5" t="n">
        <v>12</v>
      </c>
      <c r="I15" s="5" t="n">
        <f aca="false">G15-H15</f>
        <v>28</v>
      </c>
      <c r="J15" s="6" t="n">
        <f aca="false">(G15-H15)/G15</f>
        <v>0.7</v>
      </c>
      <c r="K15" s="4" t="n">
        <v>5</v>
      </c>
      <c r="L15" s="4" t="s">
        <v>25</v>
      </c>
    </row>
    <row r="16" customFormat="false" ht="33.75" hidden="false" customHeight="true" outlineLevel="0" collapsed="false">
      <c r="A16" s="7" t="s">
        <v>60</v>
      </c>
      <c r="B16" s="7" t="s">
        <v>53</v>
      </c>
      <c r="C16" s="7" t="s">
        <v>54</v>
      </c>
      <c r="D16" s="7" t="s">
        <v>61</v>
      </c>
      <c r="E16" s="7" t="s">
        <v>62</v>
      </c>
      <c r="F16" s="7" t="s">
        <v>63</v>
      </c>
      <c r="G16" s="8" t="n">
        <v>24</v>
      </c>
      <c r="H16" s="8" t="n">
        <v>7</v>
      </c>
      <c r="I16" s="8" t="n">
        <f aca="false">G16-H16</f>
        <v>17</v>
      </c>
      <c r="J16" s="9" t="n">
        <f aca="false">(G16-H16)/G16</f>
        <v>0.708333333333333</v>
      </c>
      <c r="K16" s="7" t="n">
        <v>3</v>
      </c>
      <c r="L16" s="7" t="s">
        <v>20</v>
      </c>
    </row>
    <row r="17" customFormat="false" ht="33.75" hidden="false" customHeight="true" outlineLevel="0" collapsed="false">
      <c r="A17" s="4" t="s">
        <v>64</v>
      </c>
      <c r="B17" s="4" t="s">
        <v>53</v>
      </c>
      <c r="C17" s="4" t="s">
        <v>54</v>
      </c>
      <c r="D17" s="4" t="s">
        <v>27</v>
      </c>
      <c r="E17" s="4" t="s">
        <v>65</v>
      </c>
      <c r="F17" s="4" t="s">
        <v>66</v>
      </c>
      <c r="G17" s="5" t="n">
        <v>22</v>
      </c>
      <c r="H17" s="5" t="n">
        <v>5</v>
      </c>
      <c r="I17" s="5" t="n">
        <f aca="false">G17-H17</f>
        <v>17</v>
      </c>
      <c r="J17" s="6" t="n">
        <f aca="false">(G17-H17)/G17</f>
        <v>0.772727272727273</v>
      </c>
      <c r="K17" s="4" t="n">
        <v>3</v>
      </c>
      <c r="L17" s="4" t="s">
        <v>20</v>
      </c>
    </row>
    <row r="18" customFormat="false" ht="33.75" hidden="false" customHeight="true" outlineLevel="0" collapsed="false">
      <c r="A18" s="7" t="s">
        <v>67</v>
      </c>
      <c r="B18" s="7" t="s">
        <v>68</v>
      </c>
      <c r="C18" s="7" t="s">
        <v>54</v>
      </c>
      <c r="D18" s="7" t="s">
        <v>17</v>
      </c>
      <c r="E18" s="7" t="s">
        <v>69</v>
      </c>
      <c r="F18" s="7" t="s">
        <v>70</v>
      </c>
      <c r="G18" s="8" t="n">
        <v>44</v>
      </c>
      <c r="H18" s="8" t="n">
        <v>16</v>
      </c>
      <c r="I18" s="8" t="n">
        <f aca="false">G18-H18</f>
        <v>28</v>
      </c>
      <c r="J18" s="9" t="n">
        <f aca="false">(G18-H18)/G18</f>
        <v>0.636363636363636</v>
      </c>
      <c r="K18" s="7" t="n">
        <v>4</v>
      </c>
      <c r="L18" s="7" t="s">
        <v>20</v>
      </c>
    </row>
    <row r="19" customFormat="false" ht="33.75" hidden="false" customHeight="true" outlineLevel="0" collapsed="false">
      <c r="A19" s="4" t="s">
        <v>71</v>
      </c>
      <c r="B19" s="4" t="s">
        <v>68</v>
      </c>
      <c r="C19" s="4" t="s">
        <v>54</v>
      </c>
      <c r="D19" s="4" t="s">
        <v>22</v>
      </c>
      <c r="E19" s="4" t="s">
        <v>72</v>
      </c>
      <c r="F19" s="4" t="s">
        <v>73</v>
      </c>
      <c r="G19" s="5" t="n">
        <v>38</v>
      </c>
      <c r="H19" s="5" t="n">
        <v>11</v>
      </c>
      <c r="I19" s="5" t="n">
        <f aca="false">G19-H19</f>
        <v>27</v>
      </c>
      <c r="J19" s="6" t="n">
        <f aca="false">(G19-H19)/G19</f>
        <v>0.710526315789474</v>
      </c>
      <c r="K19" s="4" t="n">
        <v>5</v>
      </c>
      <c r="L19" s="4" t="s">
        <v>20</v>
      </c>
    </row>
    <row r="20" customFormat="false" ht="33.75" hidden="false" customHeight="true" outlineLevel="0" collapsed="false">
      <c r="A20" s="7" t="s">
        <v>74</v>
      </c>
      <c r="B20" s="7" t="s">
        <v>75</v>
      </c>
      <c r="C20" s="7" t="s">
        <v>76</v>
      </c>
      <c r="D20" s="7" t="s">
        <v>17</v>
      </c>
      <c r="E20" s="7" t="s">
        <v>77</v>
      </c>
      <c r="F20" s="7" t="s">
        <v>78</v>
      </c>
      <c r="G20" s="8" t="n">
        <v>42</v>
      </c>
      <c r="H20" s="8" t="n">
        <v>15</v>
      </c>
      <c r="I20" s="8" t="n">
        <f aca="false">G20-H20</f>
        <v>27</v>
      </c>
      <c r="J20" s="9" t="n">
        <f aca="false">(G20-H20)/G20</f>
        <v>0.642857142857143</v>
      </c>
      <c r="K20" s="7" t="n">
        <v>4</v>
      </c>
      <c r="L20" s="7" t="s">
        <v>20</v>
      </c>
    </row>
    <row r="21" customFormat="false" ht="33.75" hidden="false" customHeight="true" outlineLevel="0" collapsed="false">
      <c r="A21" s="4" t="s">
        <v>79</v>
      </c>
      <c r="B21" s="4" t="s">
        <v>80</v>
      </c>
      <c r="C21" s="4" t="s">
        <v>54</v>
      </c>
      <c r="D21" s="4" t="s">
        <v>17</v>
      </c>
      <c r="E21" s="4" t="s">
        <v>81</v>
      </c>
      <c r="F21" s="4" t="s">
        <v>82</v>
      </c>
      <c r="G21" s="5" t="n">
        <v>44</v>
      </c>
      <c r="H21" s="5" t="n">
        <v>16</v>
      </c>
      <c r="I21" s="5" t="n">
        <f aca="false">G21-H21</f>
        <v>28</v>
      </c>
      <c r="J21" s="6" t="n">
        <f aca="false">(G21-H21)/G21</f>
        <v>0.636363636363636</v>
      </c>
      <c r="K21" s="4" t="n">
        <v>4</v>
      </c>
      <c r="L21" s="4" t="s">
        <v>20</v>
      </c>
    </row>
    <row r="22" customFormat="false" ht="33.75" hidden="false" customHeight="true" outlineLevel="0" collapsed="false">
      <c r="A22" s="7" t="s">
        <v>83</v>
      </c>
      <c r="B22" s="7" t="s">
        <v>80</v>
      </c>
      <c r="C22" s="7" t="s">
        <v>54</v>
      </c>
      <c r="D22" s="7" t="s">
        <v>31</v>
      </c>
      <c r="E22" s="7" t="s">
        <v>84</v>
      </c>
      <c r="F22" s="7" t="s">
        <v>85</v>
      </c>
      <c r="G22" s="8" t="n">
        <v>78</v>
      </c>
      <c r="H22" s="8" t="n">
        <v>28</v>
      </c>
      <c r="I22" s="8" t="n">
        <f aca="false">G22-H22</f>
        <v>50</v>
      </c>
      <c r="J22" s="9" t="n">
        <f aca="false">(G22-H22)/G22</f>
        <v>0.641025641025641</v>
      </c>
      <c r="K22" s="7" t="n">
        <v>5</v>
      </c>
      <c r="L22" s="7" t="s">
        <v>20</v>
      </c>
    </row>
    <row r="23" customFormat="false" ht="33.75" hidden="false" customHeight="true" outlineLevel="0" collapsed="false">
      <c r="A23" s="4" t="s">
        <v>86</v>
      </c>
      <c r="B23" s="4" t="s">
        <v>87</v>
      </c>
      <c r="C23" s="4" t="s">
        <v>88</v>
      </c>
      <c r="D23" s="4" t="s">
        <v>17</v>
      </c>
      <c r="E23" s="4" t="s">
        <v>89</v>
      </c>
      <c r="F23" s="4" t="s">
        <v>90</v>
      </c>
      <c r="G23" s="5" t="n">
        <v>42</v>
      </c>
      <c r="H23" s="5" t="n">
        <v>15</v>
      </c>
      <c r="I23" s="5" t="n">
        <f aca="false">G23-H23</f>
        <v>27</v>
      </c>
      <c r="J23" s="6" t="n">
        <f aca="false">(G23-H23)/G23</f>
        <v>0.642857142857143</v>
      </c>
      <c r="K23" s="4" t="n">
        <v>4</v>
      </c>
      <c r="L23" s="4" t="s">
        <v>20</v>
      </c>
    </row>
    <row r="24" customFormat="false" ht="33.75" hidden="false" customHeight="true" outlineLevel="0" collapsed="false">
      <c r="A24" s="7" t="s">
        <v>91</v>
      </c>
      <c r="B24" s="7" t="s">
        <v>87</v>
      </c>
      <c r="C24" s="7" t="s">
        <v>88</v>
      </c>
      <c r="D24" s="7" t="s">
        <v>22</v>
      </c>
      <c r="E24" s="7" t="s">
        <v>92</v>
      </c>
      <c r="F24" s="7" t="s">
        <v>93</v>
      </c>
      <c r="G24" s="8" t="n">
        <v>40</v>
      </c>
      <c r="H24" s="8" t="n">
        <v>12</v>
      </c>
      <c r="I24" s="8" t="n">
        <f aca="false">G24-H24</f>
        <v>28</v>
      </c>
      <c r="J24" s="9" t="n">
        <f aca="false">(G24-H24)/G24</f>
        <v>0.7</v>
      </c>
      <c r="K24" s="7" t="n">
        <v>5</v>
      </c>
      <c r="L24" s="7" t="s">
        <v>25</v>
      </c>
    </row>
    <row r="25" customFormat="false" ht="33.75" hidden="false" customHeight="true" outlineLevel="0" collapsed="false">
      <c r="A25" s="4" t="s">
        <v>94</v>
      </c>
      <c r="B25" s="4" t="s">
        <v>95</v>
      </c>
      <c r="C25" s="4" t="s">
        <v>54</v>
      </c>
      <c r="D25" s="4" t="s">
        <v>17</v>
      </c>
      <c r="E25" s="4" t="s">
        <v>96</v>
      </c>
      <c r="F25" s="4" t="s">
        <v>97</v>
      </c>
      <c r="G25" s="5" t="n">
        <v>44</v>
      </c>
      <c r="H25" s="5" t="n">
        <v>16</v>
      </c>
      <c r="I25" s="5" t="n">
        <f aca="false">G25-H25</f>
        <v>28</v>
      </c>
      <c r="J25" s="6" t="n">
        <f aca="false">(G25-H25)/G25</f>
        <v>0.636363636363636</v>
      </c>
      <c r="K25" s="4" t="n">
        <v>4</v>
      </c>
      <c r="L25" s="4" t="s">
        <v>20</v>
      </c>
    </row>
    <row r="26" customFormat="false" ht="33.75" hidden="false" customHeight="true" outlineLevel="0" collapsed="false">
      <c r="A26" s="7" t="s">
        <v>98</v>
      </c>
      <c r="B26" s="7" t="s">
        <v>99</v>
      </c>
      <c r="C26" s="7" t="s">
        <v>100</v>
      </c>
      <c r="D26" s="7" t="s">
        <v>22</v>
      </c>
      <c r="E26" s="7" t="s">
        <v>101</v>
      </c>
      <c r="F26" s="7" t="s">
        <v>102</v>
      </c>
      <c r="G26" s="8" t="n">
        <v>46</v>
      </c>
      <c r="H26" s="8" t="n">
        <v>13</v>
      </c>
      <c r="I26" s="8" t="n">
        <f aca="false">G26-H26</f>
        <v>33</v>
      </c>
      <c r="J26" s="9" t="n">
        <f aca="false">(G26-H26)/G26</f>
        <v>0.717391304347826</v>
      </c>
      <c r="K26" s="7" t="n">
        <v>5</v>
      </c>
      <c r="L26" s="7" t="s">
        <v>25</v>
      </c>
    </row>
    <row r="27" customFormat="false" ht="33.75" hidden="false" customHeight="true" outlineLevel="0" collapsed="false">
      <c r="A27" s="4" t="s">
        <v>103</v>
      </c>
      <c r="B27" s="4" t="s">
        <v>104</v>
      </c>
      <c r="C27" s="4" t="s">
        <v>16</v>
      </c>
      <c r="D27" s="4" t="s">
        <v>17</v>
      </c>
      <c r="E27" s="4" t="s">
        <v>105</v>
      </c>
      <c r="F27" s="4" t="s">
        <v>106</v>
      </c>
      <c r="G27" s="5" t="n">
        <v>44</v>
      </c>
      <c r="H27" s="5" t="n">
        <v>16</v>
      </c>
      <c r="I27" s="5" t="n">
        <f aca="false">G27-H27</f>
        <v>28</v>
      </c>
      <c r="J27" s="6" t="n">
        <f aca="false">(G27-H27)/G27</f>
        <v>0.636363636363636</v>
      </c>
      <c r="K27" s="4" t="n">
        <v>4</v>
      </c>
      <c r="L27" s="4" t="s">
        <v>20</v>
      </c>
    </row>
    <row r="28" customFormat="false" ht="33.75" hidden="false" customHeight="true" outlineLevel="0" collapsed="false">
      <c r="A28" s="7" t="s">
        <v>107</v>
      </c>
      <c r="B28" s="7" t="s">
        <v>104</v>
      </c>
      <c r="C28" s="7" t="s">
        <v>16</v>
      </c>
      <c r="D28" s="7" t="s">
        <v>108</v>
      </c>
      <c r="E28" s="7" t="s">
        <v>109</v>
      </c>
      <c r="F28" s="7" t="s">
        <v>110</v>
      </c>
      <c r="G28" s="8" t="n">
        <v>36</v>
      </c>
      <c r="H28" s="8" t="n">
        <v>11</v>
      </c>
      <c r="I28" s="8" t="n">
        <f aca="false">G28-H28</f>
        <v>25</v>
      </c>
      <c r="J28" s="9" t="n">
        <f aca="false">(G28-H28)/G28</f>
        <v>0.694444444444444</v>
      </c>
      <c r="K28" s="7" t="n">
        <v>4</v>
      </c>
      <c r="L28" s="7" t="s">
        <v>20</v>
      </c>
    </row>
    <row r="29" customFormat="false" ht="33.75" hidden="false" customHeight="true" outlineLevel="0" collapsed="false">
      <c r="A29" s="4" t="s">
        <v>111</v>
      </c>
      <c r="B29" s="4" t="s">
        <v>112</v>
      </c>
      <c r="C29" s="4" t="s">
        <v>16</v>
      </c>
      <c r="D29" s="4" t="s">
        <v>22</v>
      </c>
      <c r="E29" s="4" t="s">
        <v>113</v>
      </c>
      <c r="F29" s="4" t="s">
        <v>114</v>
      </c>
      <c r="G29" s="5" t="n">
        <v>40</v>
      </c>
      <c r="H29" s="5" t="n">
        <v>12</v>
      </c>
      <c r="I29" s="5" t="n">
        <f aca="false">G29-H29</f>
        <v>28</v>
      </c>
      <c r="J29" s="6" t="n">
        <f aca="false">(G29-H29)/G29</f>
        <v>0.7</v>
      </c>
      <c r="K29" s="4" t="n">
        <v>5</v>
      </c>
      <c r="L29" s="4" t="s">
        <v>25</v>
      </c>
    </row>
    <row r="30" customFormat="false" ht="33.75" hidden="false" customHeight="true" outlineLevel="0" collapsed="false">
      <c r="A30" s="7" t="s">
        <v>115</v>
      </c>
      <c r="B30" s="7" t="s">
        <v>112</v>
      </c>
      <c r="C30" s="7" t="s">
        <v>16</v>
      </c>
      <c r="D30" s="7" t="s">
        <v>17</v>
      </c>
      <c r="E30" s="7" t="s">
        <v>116</v>
      </c>
      <c r="F30" s="7" t="s">
        <v>117</v>
      </c>
      <c r="G30" s="8" t="n">
        <v>44</v>
      </c>
      <c r="H30" s="8" t="n">
        <v>16</v>
      </c>
      <c r="I30" s="8" t="n">
        <f aca="false">G30-H30</f>
        <v>28</v>
      </c>
      <c r="J30" s="9" t="n">
        <f aca="false">(G30-H30)/G30</f>
        <v>0.636363636363636</v>
      </c>
      <c r="K30" s="7" t="n">
        <v>4</v>
      </c>
      <c r="L30" s="7" t="s">
        <v>20</v>
      </c>
    </row>
    <row r="31" customFormat="false" ht="33.75" hidden="false" customHeight="true" outlineLevel="0" collapsed="false">
      <c r="A31" s="4" t="s">
        <v>118</v>
      </c>
      <c r="B31" s="4" t="s">
        <v>119</v>
      </c>
      <c r="C31" s="4" t="s">
        <v>16</v>
      </c>
      <c r="D31" s="4" t="s">
        <v>17</v>
      </c>
      <c r="E31" s="4" t="s">
        <v>120</v>
      </c>
      <c r="F31" s="4" t="s">
        <v>121</v>
      </c>
      <c r="G31" s="5" t="n">
        <v>44</v>
      </c>
      <c r="H31" s="5" t="n">
        <v>16</v>
      </c>
      <c r="I31" s="5" t="n">
        <f aca="false">G31-H31</f>
        <v>28</v>
      </c>
      <c r="J31" s="6" t="n">
        <f aca="false">(G31-H31)/G31</f>
        <v>0.636363636363636</v>
      </c>
      <c r="K31" s="4" t="n">
        <v>4</v>
      </c>
      <c r="L31" s="4" t="s">
        <v>20</v>
      </c>
    </row>
    <row r="32" customFormat="false" ht="33.75" hidden="false" customHeight="true" outlineLevel="0" collapsed="false">
      <c r="A32" s="7" t="s">
        <v>122</v>
      </c>
      <c r="B32" s="7" t="s">
        <v>119</v>
      </c>
      <c r="C32" s="7" t="s">
        <v>16</v>
      </c>
      <c r="D32" s="7" t="s">
        <v>27</v>
      </c>
      <c r="E32" s="7" t="s">
        <v>123</v>
      </c>
      <c r="F32" s="7" t="s">
        <v>124</v>
      </c>
      <c r="G32" s="8" t="n">
        <v>22</v>
      </c>
      <c r="H32" s="8" t="n">
        <v>5</v>
      </c>
      <c r="I32" s="8" t="n">
        <f aca="false">G32-H32</f>
        <v>17</v>
      </c>
      <c r="J32" s="9" t="n">
        <f aca="false">(G32-H32)/G32</f>
        <v>0.772727272727273</v>
      </c>
      <c r="K32" s="7" t="n">
        <v>3</v>
      </c>
      <c r="L32" s="7" t="s">
        <v>20</v>
      </c>
    </row>
    <row r="33" customFormat="false" ht="33.75" hidden="false" customHeight="true" outlineLevel="0" collapsed="false">
      <c r="A33" s="4" t="s">
        <v>125</v>
      </c>
      <c r="B33" s="4" t="s">
        <v>126</v>
      </c>
      <c r="C33" s="4" t="s">
        <v>16</v>
      </c>
      <c r="D33" s="4" t="s">
        <v>22</v>
      </c>
      <c r="E33" s="4" t="s">
        <v>127</v>
      </c>
      <c r="F33" s="4" t="s">
        <v>128</v>
      </c>
      <c r="G33" s="5" t="n">
        <v>40</v>
      </c>
      <c r="H33" s="5" t="n">
        <v>12</v>
      </c>
      <c r="I33" s="5" t="n">
        <f aca="false">G33-H33</f>
        <v>28</v>
      </c>
      <c r="J33" s="6" t="n">
        <f aca="false">(G33-H33)/G33</f>
        <v>0.7</v>
      </c>
      <c r="K33" s="4" t="n">
        <v>5</v>
      </c>
      <c r="L33" s="4" t="s">
        <v>25</v>
      </c>
    </row>
    <row r="34" customFormat="false" ht="33.75" hidden="false" customHeight="true" outlineLevel="0" collapsed="false">
      <c r="A34" s="7" t="s">
        <v>129</v>
      </c>
      <c r="B34" s="7" t="s">
        <v>130</v>
      </c>
      <c r="C34" s="7" t="s">
        <v>131</v>
      </c>
      <c r="D34" s="7" t="s">
        <v>17</v>
      </c>
      <c r="E34" s="7" t="s">
        <v>132</v>
      </c>
      <c r="F34" s="7" t="s">
        <v>133</v>
      </c>
      <c r="G34" s="8" t="n">
        <v>44</v>
      </c>
      <c r="H34" s="8" t="n">
        <v>16</v>
      </c>
      <c r="I34" s="8" t="n">
        <f aca="false">G34-H34</f>
        <v>28</v>
      </c>
      <c r="J34" s="9" t="n">
        <f aca="false">(G34-H34)/G34</f>
        <v>0.636363636363636</v>
      </c>
      <c r="K34" s="7" t="n">
        <v>4</v>
      </c>
      <c r="L34" s="7" t="s">
        <v>20</v>
      </c>
    </row>
    <row r="36" customFormat="false" ht="15" hidden="false" customHeight="false" outlineLevel="0" collapsed="false">
      <c r="A36" s="10" t="s">
        <v>134</v>
      </c>
      <c r="B36" s="11" t="str">
        <f aca="false">COUNTA(B5:B34)&amp;" SKUs"</f>
        <v>30 SKUs</v>
      </c>
      <c r="C36" s="12"/>
      <c r="D36" s="12"/>
      <c r="E36" s="12"/>
      <c r="F36" s="12"/>
      <c r="G36" s="13" t="n">
        <f aca="false">AVERAGE(G5:G34)</f>
        <v>41.8</v>
      </c>
      <c r="H36" s="13" t="n">
        <f aca="false">AVERAGE(H5:H34)</f>
        <v>13.8666666666667</v>
      </c>
      <c r="I36" s="13" t="n">
        <f aca="false">AVERAGE(I5:I34)</f>
        <v>27.9333333333333</v>
      </c>
      <c r="J36" s="14" t="n">
        <f aca="false">AVERAGE(J5:J34)</f>
        <v>0.680184781178112</v>
      </c>
      <c r="K36" s="12"/>
      <c r="L36" s="12"/>
    </row>
    <row r="37" customFormat="false" ht="15" hidden="false" customHeight="false" outlineLevel="0" collapsed="false">
      <c r="A37" s="15" t="s">
        <v>135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</sheetData>
  <mergeCells count="3">
    <mergeCell ref="A1:L1"/>
    <mergeCell ref="A2:L2"/>
    <mergeCell ref="A37:L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</cols>
  <sheetData>
    <row r="1" customFormat="false" ht="31.5" hidden="false" customHeight="true" outlineLevel="0" collapsed="false">
      <c r="A1" s="1" t="s">
        <v>136</v>
      </c>
      <c r="B1" s="1"/>
      <c r="C1" s="1"/>
      <c r="D1" s="1"/>
    </row>
    <row r="3" customFormat="false" ht="17.35" hidden="false" customHeight="false" outlineLevel="0" collapsed="false">
      <c r="A3" s="16" t="s">
        <v>137</v>
      </c>
      <c r="B3" s="16"/>
      <c r="C3" s="16"/>
      <c r="D3" s="16"/>
    </row>
    <row r="4" customFormat="false" ht="27.75" hidden="false" customHeight="true" outlineLevel="0" collapsed="false">
      <c r="A4" s="3" t="s">
        <v>5</v>
      </c>
      <c r="B4" s="3" t="s">
        <v>138</v>
      </c>
      <c r="C4" s="3" t="s">
        <v>139</v>
      </c>
      <c r="D4" s="3" t="s">
        <v>140</v>
      </c>
    </row>
    <row r="5" customFormat="false" ht="33.75" hidden="false" customHeight="true" outlineLevel="0" collapsed="false">
      <c r="A5" s="4" t="s">
        <v>17</v>
      </c>
      <c r="B5" s="4" t="n">
        <f aca="false">COUNTIF('Launch Catalog'!D5:D34, A5)</f>
        <v>12</v>
      </c>
      <c r="C5" s="5" t="n">
        <f aca="false">IFERROR(AVERAGEIF('Launch Catalog'!D5:D34, A5, 'Launch Catalog'!G5:G34), 0)</f>
        <v>43.5</v>
      </c>
      <c r="D5" s="6" t="n">
        <f aca="false">IFERROR(AVERAGEIF('Launch Catalog'!D5:D34, A5, 'Launch Catalog'!J5:J34), 0)</f>
        <v>0.636002886002886</v>
      </c>
    </row>
    <row r="6" customFormat="false" ht="33.75" hidden="false" customHeight="true" outlineLevel="0" collapsed="false">
      <c r="A6" s="7" t="s">
        <v>31</v>
      </c>
      <c r="B6" s="7" t="n">
        <f aca="false">COUNTIF('Launch Catalog'!D5:D34, A6)</f>
        <v>3</v>
      </c>
      <c r="C6" s="8" t="n">
        <f aca="false">IFERROR(AVERAGEIF('Launch Catalog'!D5:D34, A6, 'Launch Catalog'!G5:G34), 0)</f>
        <v>79.3333333333333</v>
      </c>
      <c r="D6" s="9" t="n">
        <f aca="false">IFERROR(AVERAGEIF('Launch Catalog'!D5:D34, A6, 'Launch Catalog'!J5:J34), 0)</f>
        <v>0.638732541171566</v>
      </c>
    </row>
    <row r="7" customFormat="false" ht="33.75" hidden="false" customHeight="true" outlineLevel="0" collapsed="false">
      <c r="A7" s="4" t="s">
        <v>22</v>
      </c>
      <c r="B7" s="4" t="n">
        <f aca="false">COUNTIF('Launch Catalog'!D5:D34, A7)</f>
        <v>8</v>
      </c>
      <c r="C7" s="5" t="n">
        <f aca="false">IFERROR(AVERAGEIF('Launch Catalog'!D5:D34, A7, 'Launch Catalog'!G5:G34), 0)</f>
        <v>40.5</v>
      </c>
      <c r="D7" s="6" t="n">
        <f aca="false">IFERROR(AVERAGEIF('Launch Catalog'!D5:D34, A7, 'Launch Catalog'!J5:J34), 0)</f>
        <v>0.706591206276561</v>
      </c>
    </row>
    <row r="8" customFormat="false" ht="33.75" hidden="false" customHeight="true" outlineLevel="0" collapsed="false">
      <c r="A8" s="7" t="s">
        <v>27</v>
      </c>
      <c r="B8" s="7" t="n">
        <f aca="false">COUNTIF('Launch Catalog'!D5:D34, A8)</f>
        <v>4</v>
      </c>
      <c r="C8" s="8" t="n">
        <f aca="false">IFERROR(AVERAGEIF('Launch Catalog'!D5:D34, A8, 'Launch Catalog'!G5:G34), 0)</f>
        <v>20.5</v>
      </c>
      <c r="D8" s="9" t="n">
        <f aca="false">IFERROR(AVERAGEIF('Launch Catalog'!D5:D34, A8, 'Launch Catalog'!J5:J34), 0)</f>
        <v>0.780808080808081</v>
      </c>
    </row>
    <row r="9" customFormat="false" ht="33.75" hidden="false" customHeight="true" outlineLevel="0" collapsed="false">
      <c r="A9" s="4" t="s">
        <v>108</v>
      </c>
      <c r="B9" s="4" t="n">
        <f aca="false">COUNTIF('Launch Catalog'!D5:D34, A9)</f>
        <v>1</v>
      </c>
      <c r="C9" s="5" t="n">
        <f aca="false">IFERROR(AVERAGEIF('Launch Catalog'!D5:D34, A9, 'Launch Catalog'!G5:G34), 0)</f>
        <v>36</v>
      </c>
      <c r="D9" s="6" t="n">
        <f aca="false">IFERROR(AVERAGEIF('Launch Catalog'!D5:D34, A9, 'Launch Catalog'!J5:J34), 0)</f>
        <v>0.694444444444444</v>
      </c>
    </row>
    <row r="10" customFormat="false" ht="33.75" hidden="false" customHeight="true" outlineLevel="0" collapsed="false">
      <c r="A10" s="7" t="s">
        <v>49</v>
      </c>
      <c r="B10" s="7" t="n">
        <f aca="false">COUNTIF('Launch Catalog'!D5:D34, A10)</f>
        <v>1</v>
      </c>
      <c r="C10" s="8" t="n">
        <f aca="false">IFERROR(AVERAGEIF('Launch Catalog'!D5:D34, A10, 'Launch Catalog'!G5:G34), 0)</f>
        <v>28</v>
      </c>
      <c r="D10" s="9" t="n">
        <f aca="false">IFERROR(AVERAGEIF('Launch Catalog'!D5:D34, A10, 'Launch Catalog'!J5:J34), 0)</f>
        <v>0.678571428571429</v>
      </c>
    </row>
    <row r="11" customFormat="false" ht="33.75" hidden="false" customHeight="true" outlineLevel="0" collapsed="false">
      <c r="A11" s="4" t="s">
        <v>61</v>
      </c>
      <c r="B11" s="4" t="n">
        <f aca="false">COUNTIF('Launch Catalog'!D5:D34, A11)</f>
        <v>1</v>
      </c>
      <c r="C11" s="5" t="n">
        <f aca="false">IFERROR(AVERAGEIF('Launch Catalog'!D5:D34, A11, 'Launch Catalog'!G5:G34), 0)</f>
        <v>24</v>
      </c>
      <c r="D11" s="6" t="n">
        <f aca="false">IFERROR(AVERAGEIF('Launch Catalog'!D5:D34, A11, 'Launch Catalog'!J5:J34), 0)</f>
        <v>0.708333333333333</v>
      </c>
    </row>
    <row r="12" customFormat="false" ht="33.75" hidden="false" customHeight="true" outlineLevel="0" collapsed="false">
      <c r="A12" s="7" t="s">
        <v>141</v>
      </c>
      <c r="B12" s="7" t="n">
        <f aca="false">COUNTIF('Launch Catalog'!D5:D34, A12)</f>
        <v>0</v>
      </c>
      <c r="C12" s="8" t="n">
        <f aca="false">IFERROR(AVERAGEIF('Launch Catalog'!D5:D34, A12, 'Launch Catalog'!G5:G34), 0)</f>
        <v>0</v>
      </c>
      <c r="D12" s="9" t="n">
        <f aca="false">IFERROR(AVERAGEIF('Launch Catalog'!D5:D34, A12, 'Launch Catalog'!J5:J34), 0)</f>
        <v>0</v>
      </c>
    </row>
    <row r="15" customFormat="false" ht="17.35" hidden="false" customHeight="false" outlineLevel="0" collapsed="false">
      <c r="A15" s="16" t="s">
        <v>142</v>
      </c>
      <c r="B15" s="16"/>
      <c r="C15" s="16"/>
      <c r="D15" s="16"/>
    </row>
    <row r="16" customFormat="false" ht="27.75" hidden="false" customHeight="true" outlineLevel="0" collapsed="false">
      <c r="A16" s="3" t="s">
        <v>3</v>
      </c>
      <c r="B16" s="3" t="s">
        <v>143</v>
      </c>
      <c r="C16" s="3" t="s">
        <v>139</v>
      </c>
      <c r="D16" s="3" t="s">
        <v>144</v>
      </c>
    </row>
    <row r="17" customFormat="false" ht="33.75" hidden="false" customHeight="true" outlineLevel="0" collapsed="false">
      <c r="A17" s="4" t="s">
        <v>53</v>
      </c>
      <c r="B17" s="4" t="n">
        <f aca="false">COUNTIF('Launch Catalog'!B5:B34, A17)</f>
        <v>4</v>
      </c>
      <c r="C17" s="5" t="n">
        <f aca="false">IFERROR(AVERAGEIF('Launch Catalog'!B5:B34, A17, 'Launch Catalog'!G5:G34), 0)</f>
        <v>32.5</v>
      </c>
      <c r="D17" s="5" t="n">
        <f aca="false">SUMIF('Launch Catalog'!B5:B34, A17, 'Launch Catalog'!I5:I34)</f>
        <v>90</v>
      </c>
    </row>
    <row r="18" customFormat="false" ht="33.75" hidden="false" customHeight="true" outlineLevel="0" collapsed="false">
      <c r="A18" s="7" t="s">
        <v>112</v>
      </c>
      <c r="B18" s="7" t="n">
        <f aca="false">COUNTIF('Launch Catalog'!B5:B34, A18)</f>
        <v>2</v>
      </c>
      <c r="C18" s="8" t="n">
        <f aca="false">IFERROR(AVERAGEIF('Launch Catalog'!B5:B34, A18, 'Launch Catalog'!G5:G34), 0)</f>
        <v>42</v>
      </c>
      <c r="D18" s="8" t="n">
        <f aca="false">SUMIF('Launch Catalog'!B5:B34, A18, 'Launch Catalog'!I5:I34)</f>
        <v>56</v>
      </c>
    </row>
    <row r="19" customFormat="false" ht="33.75" hidden="false" customHeight="true" outlineLevel="0" collapsed="false">
      <c r="A19" s="4" t="s">
        <v>35</v>
      </c>
      <c r="B19" s="4" t="n">
        <f aca="false">COUNTIF('Launch Catalog'!B5:B34, A19)</f>
        <v>5</v>
      </c>
      <c r="C19" s="5" t="n">
        <f aca="false">IFERROR(AVERAGEIF('Launch Catalog'!B5:B34, A19, 'Launch Catalog'!G5:G34), 0)</f>
        <v>43.2</v>
      </c>
      <c r="D19" s="5" t="n">
        <f aca="false">SUMIF('Launch Catalog'!B5:B34, A19, 'Launch Catalog'!I5:I34)</f>
        <v>145</v>
      </c>
    </row>
    <row r="20" customFormat="false" ht="33.75" hidden="false" customHeight="true" outlineLevel="0" collapsed="false">
      <c r="A20" s="7" t="s">
        <v>119</v>
      </c>
      <c r="B20" s="7" t="n">
        <f aca="false">COUNTIF('Launch Catalog'!B5:B34, A20)</f>
        <v>2</v>
      </c>
      <c r="C20" s="8" t="n">
        <f aca="false">IFERROR(AVERAGEIF('Launch Catalog'!B5:B34, A20, 'Launch Catalog'!G5:G34), 0)</f>
        <v>33</v>
      </c>
      <c r="D20" s="8" t="n">
        <f aca="false">SUMIF('Launch Catalog'!B5:B34, A20, 'Launch Catalog'!I5:I34)</f>
        <v>45</v>
      </c>
    </row>
    <row r="21" customFormat="false" ht="33.75" hidden="false" customHeight="true" outlineLevel="0" collapsed="false">
      <c r="A21" s="4" t="s">
        <v>15</v>
      </c>
      <c r="B21" s="4" t="n">
        <f aca="false">COUNTIF('Launch Catalog'!B5:B34, A21)</f>
        <v>4</v>
      </c>
      <c r="C21" s="5" t="n">
        <f aca="false">IFERROR(AVERAGEIF('Launch Catalog'!B5:B34, A21, 'Launch Catalog'!G5:G34), 0)</f>
        <v>44</v>
      </c>
      <c r="D21" s="5" t="n">
        <f aca="false">SUMIF('Launch Catalog'!B5:B34, A21, 'Launch Catalog'!I5:I34)</f>
        <v>117</v>
      </c>
    </row>
    <row r="22" customFormat="false" ht="33.75" hidden="false" customHeight="true" outlineLevel="0" collapsed="false">
      <c r="A22" s="7" t="s">
        <v>104</v>
      </c>
      <c r="B22" s="7" t="n">
        <f aca="false">COUNTIF('Launch Catalog'!B5:B34, A22)</f>
        <v>2</v>
      </c>
      <c r="C22" s="8" t="n">
        <f aca="false">IFERROR(AVERAGEIF('Launch Catalog'!B5:B34, A22, 'Launch Catalog'!G5:G34), 0)</f>
        <v>40</v>
      </c>
      <c r="D22" s="8" t="n">
        <f aca="false">SUMIF('Launch Catalog'!B5:B34, A22, 'Launch Catalog'!I5:I34)</f>
        <v>53</v>
      </c>
    </row>
    <row r="23" customFormat="false" ht="33.75" hidden="false" customHeight="true" outlineLevel="0" collapsed="false">
      <c r="A23" s="4" t="s">
        <v>126</v>
      </c>
      <c r="B23" s="4" t="n">
        <f aca="false">COUNTIF('Launch Catalog'!B5:B34, A23)</f>
        <v>1</v>
      </c>
      <c r="C23" s="5" t="n">
        <f aca="false">IFERROR(AVERAGEIF('Launch Catalog'!B5:B34, A23, 'Launch Catalog'!G5:G34), 0)</f>
        <v>40</v>
      </c>
      <c r="D23" s="5" t="n">
        <f aca="false">SUMIF('Launch Catalog'!B5:B34, A23, 'Launch Catalog'!I5:I34)</f>
        <v>28</v>
      </c>
    </row>
    <row r="24" customFormat="false" ht="33.75" hidden="false" customHeight="true" outlineLevel="0" collapsed="false">
      <c r="A24" s="7" t="s">
        <v>130</v>
      </c>
      <c r="B24" s="7" t="n">
        <f aca="false">COUNTIF('Launch Catalog'!B5:B34, A24)</f>
        <v>1</v>
      </c>
      <c r="C24" s="8" t="n">
        <f aca="false">IFERROR(AVERAGEIF('Launch Catalog'!B5:B34, A24, 'Launch Catalog'!G5:G34), 0)</f>
        <v>44</v>
      </c>
      <c r="D24" s="8" t="n">
        <f aca="false">SUMIF('Launch Catalog'!B5:B34, A24, 'Launch Catalog'!I5:I34)</f>
        <v>28</v>
      </c>
    </row>
    <row r="25" customFormat="false" ht="33.75" hidden="false" customHeight="true" outlineLevel="0" collapsed="false">
      <c r="A25" s="4" t="s">
        <v>99</v>
      </c>
      <c r="B25" s="4" t="n">
        <f aca="false">COUNTIF('Launch Catalog'!B5:B34, A25)</f>
        <v>1</v>
      </c>
      <c r="C25" s="5" t="n">
        <f aca="false">IFERROR(AVERAGEIF('Launch Catalog'!B5:B34, A25, 'Launch Catalog'!G5:G34), 0)</f>
        <v>46</v>
      </c>
      <c r="D25" s="5" t="n">
        <f aca="false">SUMIF('Launch Catalog'!B5:B34, A25, 'Launch Catalog'!I5:I34)</f>
        <v>33</v>
      </c>
    </row>
    <row r="26" customFormat="false" ht="33.75" hidden="false" customHeight="true" outlineLevel="0" collapsed="false">
      <c r="A26" s="7" t="s">
        <v>95</v>
      </c>
      <c r="B26" s="7" t="n">
        <f aca="false">COUNTIF('Launch Catalog'!B5:B34, A26)</f>
        <v>1</v>
      </c>
      <c r="C26" s="8" t="n">
        <f aca="false">IFERROR(AVERAGEIF('Launch Catalog'!B5:B34, A26, 'Launch Catalog'!G5:G34), 0)</f>
        <v>44</v>
      </c>
      <c r="D26" s="8" t="n">
        <f aca="false">SUMIF('Launch Catalog'!B5:B34, A26, 'Launch Catalog'!I5:I34)</f>
        <v>28</v>
      </c>
    </row>
    <row r="27" customFormat="false" ht="33.75" hidden="false" customHeight="true" outlineLevel="0" collapsed="false">
      <c r="A27" s="4" t="s">
        <v>87</v>
      </c>
      <c r="B27" s="4" t="n">
        <f aca="false">COUNTIF('Launch Catalog'!B5:B34, A27)</f>
        <v>2</v>
      </c>
      <c r="C27" s="5" t="n">
        <f aca="false">IFERROR(AVERAGEIF('Launch Catalog'!B5:B34, A27, 'Launch Catalog'!G5:G34), 0)</f>
        <v>41</v>
      </c>
      <c r="D27" s="5" t="n">
        <f aca="false">SUMIF('Launch Catalog'!B5:B34, A27, 'Launch Catalog'!I5:I34)</f>
        <v>55</v>
      </c>
    </row>
    <row r="28" customFormat="false" ht="33.75" hidden="false" customHeight="true" outlineLevel="0" collapsed="false">
      <c r="A28" s="7" t="s">
        <v>80</v>
      </c>
      <c r="B28" s="7" t="n">
        <f aca="false">COUNTIF('Launch Catalog'!B5:B34, A28)</f>
        <v>2</v>
      </c>
      <c r="C28" s="8" t="n">
        <f aca="false">IFERROR(AVERAGEIF('Launch Catalog'!B5:B34, A28, 'Launch Catalog'!G5:G34), 0)</f>
        <v>61</v>
      </c>
      <c r="D28" s="8" t="n">
        <f aca="false">SUMIF('Launch Catalog'!B5:B34, A28, 'Launch Catalog'!I5:I34)</f>
        <v>78</v>
      </c>
    </row>
    <row r="29" customFormat="false" ht="33.75" hidden="false" customHeight="true" outlineLevel="0" collapsed="false">
      <c r="A29" s="4" t="s">
        <v>75</v>
      </c>
      <c r="B29" s="4" t="n">
        <f aca="false">COUNTIF('Launch Catalog'!B5:B34, A29)</f>
        <v>1</v>
      </c>
      <c r="C29" s="5" t="n">
        <f aca="false">IFERROR(AVERAGEIF('Launch Catalog'!B5:B34, A29, 'Launch Catalog'!G5:G34), 0)</f>
        <v>42</v>
      </c>
      <c r="D29" s="5" t="n">
        <f aca="false">SUMIF('Launch Catalog'!B5:B34, A29, 'Launch Catalog'!I5:I34)</f>
        <v>27</v>
      </c>
    </row>
    <row r="30" customFormat="false" ht="33.75" hidden="false" customHeight="true" outlineLevel="0" collapsed="false">
      <c r="A30" s="7" t="s">
        <v>68</v>
      </c>
      <c r="B30" s="7" t="n">
        <f aca="false">COUNTIF('Launch Catalog'!B5:B34, A30)</f>
        <v>2</v>
      </c>
      <c r="C30" s="8" t="n">
        <f aca="false">IFERROR(AVERAGEIF('Launch Catalog'!B5:B34, A30, 'Launch Catalog'!G5:G34), 0)</f>
        <v>41</v>
      </c>
      <c r="D30" s="8" t="n">
        <f aca="false">SUMIF('Launch Catalog'!B5:B34, A30, 'Launch Catalog'!I5:I34)</f>
        <v>55</v>
      </c>
    </row>
    <row r="33" customFormat="false" ht="17.35" hidden="false" customHeight="false" outlineLevel="0" collapsed="false">
      <c r="A33" s="16" t="s">
        <v>145</v>
      </c>
      <c r="B33" s="16"/>
      <c r="C33" s="16"/>
      <c r="D33" s="16"/>
    </row>
    <row r="34" customFormat="false" ht="27.75" hidden="false" customHeight="true" outlineLevel="0" collapsed="false">
      <c r="A34" s="3" t="s">
        <v>146</v>
      </c>
      <c r="B34" s="3" t="s">
        <v>147</v>
      </c>
    </row>
    <row r="35" customFormat="false" ht="33.75" hidden="false" customHeight="true" outlineLevel="0" collapsed="false">
      <c r="A35" s="4" t="s">
        <v>148</v>
      </c>
      <c r="B35" s="4" t="n">
        <f aca="false">COUNTA('Launch Catalog'!A5:A34)</f>
        <v>30</v>
      </c>
    </row>
    <row r="36" customFormat="false" ht="33.75" hidden="false" customHeight="true" outlineLevel="0" collapsed="false">
      <c r="A36" s="7" t="s">
        <v>149</v>
      </c>
      <c r="B36" s="7" t="n">
        <f aca="false">SUMPRODUCT(1/COUNTIF('Launch Catalog'!B5:B34, 'Launch Catalog'!B5:B34))</f>
        <v>14</v>
      </c>
    </row>
    <row r="37" customFormat="false" ht="33.75" hidden="false" customHeight="true" outlineLevel="0" collapsed="false">
      <c r="A37" s="4" t="s">
        <v>150</v>
      </c>
      <c r="B37" s="5" t="n">
        <f aca="false">AVERAGE('Launch Catalog'!G5:G34)</f>
        <v>41.8</v>
      </c>
    </row>
    <row r="38" customFormat="false" ht="33.75" hidden="false" customHeight="true" outlineLevel="0" collapsed="false">
      <c r="A38" s="7" t="s">
        <v>151</v>
      </c>
      <c r="B38" s="9" t="n">
        <f aca="false">AVERAGE('Launch Catalog'!J5:J34)</f>
        <v>0.680184781178112</v>
      </c>
    </row>
    <row r="39" customFormat="false" ht="33.75" hidden="false" customHeight="true" outlineLevel="0" collapsed="false">
      <c r="A39" s="4" t="s">
        <v>152</v>
      </c>
      <c r="B39" s="5" t="n">
        <f aca="false">SUM('Launch Catalog'!I5:I34)</f>
        <v>838</v>
      </c>
    </row>
    <row r="40" customFormat="false" ht="33.75" hidden="false" customHeight="true" outlineLevel="0" collapsed="false">
      <c r="A40" s="7" t="s">
        <v>153</v>
      </c>
      <c r="B40" s="8" t="n">
        <f aca="false">SUM('Launch Catalog'!I5:I34)*50</f>
        <v>41900</v>
      </c>
    </row>
  </sheetData>
  <mergeCells count="4">
    <mergeCell ref="A1:D1"/>
    <mergeCell ref="A3:D3"/>
    <mergeCell ref="A15:D15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50"/>
    <col collapsed="false" customWidth="true" hidden="false" outlineLevel="0" max="5" min="5" style="0" width="44"/>
  </cols>
  <sheetData>
    <row r="1" customFormat="false" ht="31.5" hidden="false" customHeight="true" outlineLevel="0" collapsed="false">
      <c r="A1" s="1" t="s">
        <v>154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155</v>
      </c>
      <c r="B2" s="2"/>
      <c r="C2" s="2"/>
      <c r="D2" s="2"/>
      <c r="E2" s="2"/>
    </row>
    <row r="4" customFormat="false" ht="27.75" hidden="false" customHeight="true" outlineLevel="0" collapsed="false">
      <c r="A4" s="3" t="s">
        <v>156</v>
      </c>
      <c r="B4" s="3" t="s">
        <v>157</v>
      </c>
      <c r="C4" s="3" t="s">
        <v>158</v>
      </c>
      <c r="D4" s="3" t="s">
        <v>159</v>
      </c>
      <c r="E4" s="3" t="s">
        <v>160</v>
      </c>
    </row>
    <row r="5" customFormat="false" ht="33.75" hidden="false" customHeight="true" outlineLevel="0" collapsed="false">
      <c r="A5" s="4" t="s">
        <v>161</v>
      </c>
      <c r="B5" s="4" t="s">
        <v>162</v>
      </c>
      <c r="C5" s="4" t="s">
        <v>163</v>
      </c>
      <c r="D5" s="4" t="s">
        <v>164</v>
      </c>
      <c r="E5" s="4" t="s">
        <v>165</v>
      </c>
    </row>
    <row r="6" customFormat="false" ht="33.75" hidden="false" customHeight="true" outlineLevel="0" collapsed="false">
      <c r="A6" s="7" t="s">
        <v>166</v>
      </c>
      <c r="B6" s="7" t="s">
        <v>167</v>
      </c>
      <c r="C6" s="7" t="s">
        <v>168</v>
      </c>
      <c r="D6" s="7" t="s">
        <v>169</v>
      </c>
      <c r="E6" s="7" t="s">
        <v>170</v>
      </c>
    </row>
    <row r="7" customFormat="false" ht="33.75" hidden="false" customHeight="true" outlineLevel="0" collapsed="false">
      <c r="A7" s="4" t="s">
        <v>171</v>
      </c>
      <c r="B7" s="4" t="s">
        <v>172</v>
      </c>
      <c r="C7" s="4" t="s">
        <v>173</v>
      </c>
      <c r="D7" s="4" t="s">
        <v>174</v>
      </c>
      <c r="E7" s="4" t="s">
        <v>175</v>
      </c>
    </row>
    <row r="8" customFormat="false" ht="33.75" hidden="false" customHeight="true" outlineLevel="0" collapsed="false">
      <c r="A8" s="7" t="s">
        <v>176</v>
      </c>
      <c r="B8" s="7" t="s">
        <v>177</v>
      </c>
      <c r="C8" s="7" t="s">
        <v>178</v>
      </c>
      <c r="D8" s="7" t="s">
        <v>179</v>
      </c>
      <c r="E8" s="7" t="s">
        <v>180</v>
      </c>
    </row>
    <row r="9" customFormat="false" ht="33.75" hidden="false" customHeight="true" outlineLevel="0" collapsed="false">
      <c r="A9" s="4" t="s">
        <v>181</v>
      </c>
      <c r="B9" s="4" t="s">
        <v>182</v>
      </c>
      <c r="C9" s="4" t="s">
        <v>183</v>
      </c>
      <c r="D9" s="4" t="s">
        <v>184</v>
      </c>
      <c r="E9" s="4" t="s">
        <v>185</v>
      </c>
    </row>
    <row r="10" customFormat="false" ht="33.75" hidden="false" customHeight="true" outlineLevel="0" collapsed="false">
      <c r="A10" s="7" t="s">
        <v>186</v>
      </c>
      <c r="B10" s="7" t="s">
        <v>187</v>
      </c>
      <c r="C10" s="7" t="s">
        <v>188</v>
      </c>
      <c r="D10" s="7" t="s">
        <v>189</v>
      </c>
      <c r="E10" s="7" t="s">
        <v>190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2026-04-22T00:18:13Z</dcterms:created>
  <dc:creator>openpyxl</dc:creator>
  <dc:description/>
  <dc:language>en-US</dc:language>
  <cp:lastModifiedBy/>
  <dcterms:modified xsi:type="dcterms:W3CDTF">2026-04-22T00:18:13Z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